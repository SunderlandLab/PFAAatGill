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-my.sharepoint.com/personal/zhijihu_seas_harvard_edu/Documents/Research/PFAAatGill/"/>
    </mc:Choice>
  </mc:AlternateContent>
  <xr:revisionPtr revIDLastSave="12" documentId="8_{65F626DC-9C0C-F846-BF0F-639646F08143}" xr6:coauthVersionLast="47" xr6:coauthVersionMax="47" xr10:uidLastSave="{C404E9A3-4AC9-1145-B190-CED76374C055}"/>
  <bookViews>
    <workbookView xWindow="1500" yWindow="1320" windowWidth="27640" windowHeight="16940" activeTab="1" xr2:uid="{B25F008C-6FF6-5C44-82C3-5DD69C8EDBAE}"/>
  </bookViews>
  <sheets>
    <sheet name="Properties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P2" i="1"/>
  <c r="N3" i="1"/>
  <c r="P3" i="1"/>
  <c r="N4" i="1"/>
  <c r="P4" i="1"/>
  <c r="N5" i="1"/>
  <c r="P5" i="1"/>
  <c r="N6" i="1"/>
  <c r="P6" i="1"/>
  <c r="N7" i="1"/>
  <c r="P7" i="1"/>
  <c r="N8" i="1"/>
  <c r="P8" i="1"/>
  <c r="N9" i="1"/>
  <c r="P9" i="1"/>
  <c r="N10" i="1"/>
  <c r="P10" i="1"/>
</calcChain>
</file>

<file path=xl/sharedStrings.xml><?xml version="1.0" encoding="utf-8"?>
<sst xmlns="http://schemas.openxmlformats.org/spreadsheetml/2006/main" count="39" uniqueCount="30">
  <si>
    <t>PFUDA</t>
  </si>
  <si>
    <t>PFDA</t>
  </si>
  <si>
    <t>PFNA</t>
  </si>
  <si>
    <t>PFOA</t>
  </si>
  <si>
    <t>PFHpA</t>
  </si>
  <si>
    <t>PFHxA</t>
  </si>
  <si>
    <t>PFOS</t>
  </si>
  <si>
    <t>PFHxS</t>
  </si>
  <si>
    <t>PFBS</t>
  </si>
  <si>
    <t>k_elim_kidney</t>
  </si>
  <si>
    <t>logKOC_sd</t>
  </si>
  <si>
    <t>logKOC_mean</t>
  </si>
  <si>
    <t>logKNLOMW_sd</t>
  </si>
  <si>
    <t>logKNLOMW_mean</t>
  </si>
  <si>
    <t>logKSPW_sd</t>
  </si>
  <si>
    <t>logKSPW_mean</t>
  </si>
  <si>
    <t>logKFPW_sd</t>
  </si>
  <si>
    <t>logKFPW_mean</t>
  </si>
  <si>
    <t>logKPLW_sd</t>
  </si>
  <si>
    <t>logKPLW_mean</t>
  </si>
  <si>
    <t>logKOW_sd</t>
  </si>
  <si>
    <t>logKOW_mean</t>
  </si>
  <si>
    <t>PFAA_density</t>
  </si>
  <si>
    <t>MW</t>
  </si>
  <si>
    <t>chemical_name</t>
  </si>
  <si>
    <t>logDOW</t>
  </si>
  <si>
    <t>logDMW</t>
  </si>
  <si>
    <t>logDFPW</t>
  </si>
  <si>
    <t>logDSPW</t>
  </si>
  <si>
    <t>logDNW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</si>
</sst>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5AA3-0674-964F-8372-F975D6AC4A2E}">
  <dimension ref="A1:P19"/>
  <sheetViews>
    <sheetView topLeftCell="B1" workbookViewId="0">
      <selection activeCell="Q1" sqref="Q1:Q1048576"/>
    </sheetView>
  </sheetViews>
  <sheetFormatPr baseColWidth="10" defaultRowHeight="16" x14ac:dyDescent="0.2"/>
  <cols>
    <col min="1" max="1" width="14.1640625" style="1" bestFit="1" customWidth="1"/>
    <col min="2" max="2" width="10.83203125" style="1"/>
    <col min="3" max="3" width="12.5" style="1" bestFit="1" customWidth="1"/>
    <col min="4" max="4" width="15.6640625" style="1" bestFit="1" customWidth="1"/>
    <col min="5" max="5" width="10.83203125" style="1" bestFit="1" customWidth="1"/>
    <col min="6" max="6" width="14.1640625" style="1" bestFit="1" customWidth="1"/>
    <col min="7" max="7" width="11.33203125" style="1" bestFit="1" customWidth="1"/>
    <col min="8" max="8" width="14.33203125" style="1" bestFit="1" customWidth="1"/>
    <col min="9" max="9" width="11.5" style="1" bestFit="1" customWidth="1"/>
    <col min="10" max="10" width="14.33203125" style="1" bestFit="1" customWidth="1"/>
    <col min="11" max="11" width="11.5" style="1" bestFit="1" customWidth="1"/>
    <col min="12" max="12" width="17.6640625" style="1" bestFit="1" customWidth="1"/>
    <col min="13" max="13" width="14.6640625" style="1" bestFit="1" customWidth="1"/>
    <col min="14" max="14" width="12.83203125" style="1" bestFit="1" customWidth="1"/>
    <col min="15" max="15" width="10" style="1" bestFit="1" customWidth="1"/>
    <col min="16" max="16" width="13.33203125" bestFit="1" customWidth="1"/>
  </cols>
  <sheetData>
    <row r="1" spans="1:16" s="2" customFormat="1" x14ac:dyDescent="0.2">
      <c r="A1" s="3" t="s">
        <v>24</v>
      </c>
      <c r="B1" s="3" t="s">
        <v>23</v>
      </c>
      <c r="C1" s="3" t="s">
        <v>22</v>
      </c>
      <c r="D1" s="3" t="s">
        <v>21</v>
      </c>
      <c r="E1" s="3" t="s">
        <v>20</v>
      </c>
      <c r="F1" s="3" t="s">
        <v>19</v>
      </c>
      <c r="G1" s="3" t="s">
        <v>18</v>
      </c>
      <c r="H1" s="3" t="s">
        <v>17</v>
      </c>
      <c r="I1" s="3" t="s">
        <v>16</v>
      </c>
      <c r="J1" s="3" t="s">
        <v>15</v>
      </c>
      <c r="K1" s="3" t="s">
        <v>14</v>
      </c>
      <c r="L1" s="3" t="s">
        <v>13</v>
      </c>
      <c r="M1" s="3" t="s">
        <v>12</v>
      </c>
      <c r="N1" s="3" t="s">
        <v>11</v>
      </c>
      <c r="O1" s="3" t="s">
        <v>10</v>
      </c>
      <c r="P1" s="3" t="s">
        <v>9</v>
      </c>
    </row>
    <row r="2" spans="1:16" x14ac:dyDescent="0.2">
      <c r="A2" s="1" t="s">
        <v>8</v>
      </c>
      <c r="B2" s="1">
        <v>300.10000000000002</v>
      </c>
      <c r="C2" s="1">
        <v>1.83</v>
      </c>
      <c r="D2" s="1">
        <v>0.8</v>
      </c>
      <c r="E2" s="1">
        <v>0.05</v>
      </c>
      <c r="F2" s="1">
        <v>2.63</v>
      </c>
      <c r="G2" s="1">
        <v>0.05</v>
      </c>
      <c r="H2" s="1">
        <v>3.34</v>
      </c>
      <c r="I2" s="1">
        <v>0.06</v>
      </c>
      <c r="J2" s="1">
        <v>0.74</v>
      </c>
      <c r="K2" s="1">
        <v>0.1</v>
      </c>
      <c r="L2" s="1">
        <v>0.8</v>
      </c>
      <c r="M2" s="1">
        <v>0.05</v>
      </c>
      <c r="N2" s="1">
        <f>(1.22 + 1.79)/2</f>
        <v>1.5049999999999999</v>
      </c>
      <c r="O2" s="1">
        <v>0.05</v>
      </c>
      <c r="P2" s="1">
        <f xml:space="preserve"> 3.352 / (24*60*60)</f>
        <v>3.8796296296296295E-5</v>
      </c>
    </row>
    <row r="3" spans="1:16" x14ac:dyDescent="0.2">
      <c r="A3" s="1" t="s">
        <v>7</v>
      </c>
      <c r="B3" s="1">
        <v>400.12</v>
      </c>
      <c r="C3" s="1">
        <v>1.841</v>
      </c>
      <c r="D3" s="1">
        <v>2.1</v>
      </c>
      <c r="E3" s="1">
        <v>0.05</v>
      </c>
      <c r="F3" s="1">
        <v>3.82</v>
      </c>
      <c r="G3" s="1">
        <v>0.03</v>
      </c>
      <c r="H3" s="1">
        <v>4.9400000000000004</v>
      </c>
      <c r="I3" s="1">
        <v>0.04</v>
      </c>
      <c r="J3" s="1">
        <v>1.73</v>
      </c>
      <c r="K3" s="1">
        <v>0.17</v>
      </c>
      <c r="L3" s="1">
        <v>2.1</v>
      </c>
      <c r="M3" s="1">
        <v>0.05</v>
      </c>
      <c r="N3" s="1">
        <f xml:space="preserve"> (2.05 + 3.7)/2</f>
        <v>2.875</v>
      </c>
      <c r="O3" s="1">
        <v>0.05</v>
      </c>
      <c r="P3" s="1">
        <f xml:space="preserve"> 0.315 / (24*60*60)</f>
        <v>3.6458333333333333E-6</v>
      </c>
    </row>
    <row r="4" spans="1:16" x14ac:dyDescent="0.2">
      <c r="A4" s="1" t="s">
        <v>6</v>
      </c>
      <c r="B4" s="1">
        <v>500.13</v>
      </c>
      <c r="C4" s="1">
        <v>1.8</v>
      </c>
      <c r="D4" s="1">
        <v>3.33</v>
      </c>
      <c r="E4" s="1">
        <v>0.05</v>
      </c>
      <c r="F4" s="1">
        <v>4.88</v>
      </c>
      <c r="G4" s="1">
        <v>0.05</v>
      </c>
      <c r="H4" s="1">
        <v>4.8099999999999996</v>
      </c>
      <c r="I4" s="1">
        <v>0.05</v>
      </c>
      <c r="J4" s="1">
        <v>2.94</v>
      </c>
      <c r="K4" s="1">
        <v>0.15</v>
      </c>
      <c r="L4" s="1">
        <v>3.33</v>
      </c>
      <c r="M4" s="1">
        <v>0.05</v>
      </c>
      <c r="N4" s="1">
        <f xml:space="preserve"> (2.6 + 3.8)/2</f>
        <v>3.2</v>
      </c>
      <c r="O4" s="1">
        <v>0.05</v>
      </c>
      <c r="P4" s="1">
        <f xml:space="preserve"> 0.014 / (24*60*60)</f>
        <v>1.6203703703703703E-7</v>
      </c>
    </row>
    <row r="5" spans="1:16" x14ac:dyDescent="0.2">
      <c r="A5" s="1" t="s">
        <v>5</v>
      </c>
      <c r="B5" s="1">
        <v>314.05399999999997</v>
      </c>
      <c r="C5" s="1">
        <v>1.7569999999999999</v>
      </c>
      <c r="D5" s="1">
        <v>0.96</v>
      </c>
      <c r="E5" s="1">
        <v>0.05</v>
      </c>
      <c r="F5" s="1">
        <v>2.31</v>
      </c>
      <c r="G5" s="1">
        <v>0.03</v>
      </c>
      <c r="H5" s="1">
        <v>3.56</v>
      </c>
      <c r="I5" s="1">
        <v>0.02</v>
      </c>
      <c r="J5" s="1">
        <v>0.64</v>
      </c>
      <c r="K5" s="1">
        <v>0.18</v>
      </c>
      <c r="L5" s="1">
        <v>0.96</v>
      </c>
      <c r="M5" s="1">
        <v>0.05</v>
      </c>
      <c r="N5" s="1">
        <f xml:space="preserve"> (1.31 + 2.1)/2</f>
        <v>1.7050000000000001</v>
      </c>
      <c r="O5" s="1">
        <v>0.05</v>
      </c>
      <c r="P5" s="1">
        <f xml:space="preserve"> 3.352 / (24*60*60)</f>
        <v>3.8796296296296295E-5</v>
      </c>
    </row>
    <row r="6" spans="1:16" x14ac:dyDescent="0.2">
      <c r="A6" s="1" t="s">
        <v>4</v>
      </c>
      <c r="B6" s="1">
        <v>364.06</v>
      </c>
      <c r="C6" s="1">
        <v>1.7589999999999999</v>
      </c>
      <c r="D6" s="1">
        <v>1.57</v>
      </c>
      <c r="E6" s="1">
        <v>0.05</v>
      </c>
      <c r="F6" s="1">
        <v>2.87</v>
      </c>
      <c r="G6" s="1">
        <v>0.04</v>
      </c>
      <c r="H6" s="1">
        <v>4.16</v>
      </c>
      <c r="I6" s="1">
        <v>0.05</v>
      </c>
      <c r="J6" s="1">
        <v>1.3</v>
      </c>
      <c r="K6" s="1">
        <v>0.11</v>
      </c>
      <c r="L6" s="1">
        <v>1.57</v>
      </c>
      <c r="M6" s="1">
        <v>0.05</v>
      </c>
      <c r="N6" s="1">
        <f xml:space="preserve"> (1.63 + 2.1)/2</f>
        <v>1.865</v>
      </c>
      <c r="O6" s="1">
        <v>0.05</v>
      </c>
      <c r="P6" s="1">
        <f xml:space="preserve"> 0.315 / (24*60*60)</f>
        <v>3.6458333333333333E-6</v>
      </c>
    </row>
    <row r="7" spans="1:16" x14ac:dyDescent="0.2">
      <c r="A7" s="1" t="s">
        <v>3</v>
      </c>
      <c r="B7" s="1">
        <v>414.07</v>
      </c>
      <c r="C7" s="1">
        <v>1.8</v>
      </c>
      <c r="D7" s="1">
        <v>2.2000000000000002</v>
      </c>
      <c r="E7" s="1">
        <v>0.05</v>
      </c>
      <c r="F7" s="1">
        <v>3.51</v>
      </c>
      <c r="G7" s="1">
        <v>0.03</v>
      </c>
      <c r="H7" s="1">
        <v>4.33</v>
      </c>
      <c r="I7" s="1">
        <v>0.03</v>
      </c>
      <c r="J7" s="1">
        <v>1.61</v>
      </c>
      <c r="K7" s="1">
        <v>0.15</v>
      </c>
      <c r="L7" s="1">
        <v>2.2000000000000002</v>
      </c>
      <c r="M7" s="1">
        <v>0.05</v>
      </c>
      <c r="N7" s="1">
        <f xml:space="preserve"> (1.89 + 3.5)/2</f>
        <v>2.6949999999999998</v>
      </c>
      <c r="O7" s="1">
        <v>0.05</v>
      </c>
      <c r="P7" s="1">
        <f xml:space="preserve"> 0.069 / (24*60*60)</f>
        <v>7.9861111111111117E-7</v>
      </c>
    </row>
    <row r="8" spans="1:16" x14ac:dyDescent="0.2">
      <c r="A8" s="1" t="s">
        <v>2</v>
      </c>
      <c r="B8" s="1">
        <v>464.08</v>
      </c>
      <c r="C8" s="1">
        <v>1.8</v>
      </c>
      <c r="D8" s="1">
        <v>2.82</v>
      </c>
      <c r="E8" s="1">
        <v>0.05</v>
      </c>
      <c r="F8" s="1">
        <v>4.04</v>
      </c>
      <c r="G8" s="1">
        <v>0.03</v>
      </c>
      <c r="H8" s="1">
        <v>4.46</v>
      </c>
      <c r="I8" s="1">
        <v>0.05</v>
      </c>
      <c r="J8" s="1">
        <v>2.17</v>
      </c>
      <c r="K8" s="1">
        <v>0.06</v>
      </c>
      <c r="L8" s="1">
        <v>2.82</v>
      </c>
      <c r="M8" s="1">
        <v>0.05</v>
      </c>
      <c r="N8" s="1">
        <f xml:space="preserve"> (2.36 + 4)/2</f>
        <v>3.1799999999999997</v>
      </c>
      <c r="O8" s="1">
        <v>0.05</v>
      </c>
      <c r="P8" s="1">
        <f xml:space="preserve"> 0.014 / (24*60*60)</f>
        <v>1.6203703703703703E-7</v>
      </c>
    </row>
    <row r="9" spans="1:16" x14ac:dyDescent="0.2">
      <c r="A9" s="1" t="s">
        <v>1</v>
      </c>
      <c r="B9" s="1">
        <v>514.08000000000004</v>
      </c>
      <c r="C9" s="1">
        <v>1.7070000000000001</v>
      </c>
      <c r="D9" s="1">
        <v>3.4</v>
      </c>
      <c r="E9" s="1">
        <v>0.05</v>
      </c>
      <c r="F9" s="1">
        <v>4.63</v>
      </c>
      <c r="G9" s="1">
        <v>0.04</v>
      </c>
      <c r="H9" s="1">
        <v>4.8600000000000003</v>
      </c>
      <c r="I9" s="1">
        <v>0.03</v>
      </c>
      <c r="J9" s="1">
        <v>2.96</v>
      </c>
      <c r="K9" s="1">
        <v>0.16</v>
      </c>
      <c r="L9" s="1">
        <v>3.4</v>
      </c>
      <c r="M9" s="1">
        <v>0.05</v>
      </c>
      <c r="N9" s="1">
        <f xml:space="preserve"> (2.96 + 4.6)/2</f>
        <v>3.78</v>
      </c>
      <c r="O9" s="1">
        <v>0.05</v>
      </c>
      <c r="P9" s="1">
        <f xml:space="preserve"> 0.007 / (24*60*60)</f>
        <v>8.1018518518518515E-8</v>
      </c>
    </row>
    <row r="10" spans="1:16" x14ac:dyDescent="0.2">
      <c r="A10" s="1" t="s">
        <v>0</v>
      </c>
      <c r="B10" s="1">
        <v>564.09</v>
      </c>
      <c r="C10" s="1">
        <v>1.8</v>
      </c>
      <c r="D10" s="1">
        <v>4.05</v>
      </c>
      <c r="E10" s="1">
        <v>0.05</v>
      </c>
      <c r="F10" s="1">
        <v>5.22</v>
      </c>
      <c r="G10" s="1">
        <v>0.3</v>
      </c>
      <c r="H10" s="1">
        <v>4.74</v>
      </c>
      <c r="I10" s="1">
        <v>0.1</v>
      </c>
      <c r="J10" s="1">
        <v>3.42</v>
      </c>
      <c r="K10" s="1">
        <v>0.14000000000000001</v>
      </c>
      <c r="L10" s="1">
        <v>4.05</v>
      </c>
      <c r="M10" s="1">
        <v>0.05</v>
      </c>
      <c r="N10" s="1">
        <f xml:space="preserve"> (3.3 + 5.1)/2</f>
        <v>4.1999999999999993</v>
      </c>
      <c r="O10" s="1">
        <v>0.05</v>
      </c>
      <c r="P10" s="1">
        <f xml:space="preserve"> 0 / (24*60*60)</f>
        <v>0</v>
      </c>
    </row>
    <row r="11" spans="1:16" x14ac:dyDescent="0.2">
      <c r="P11" s="1"/>
    </row>
    <row r="12" spans="1:16" x14ac:dyDescent="0.2">
      <c r="P12" s="1"/>
    </row>
    <row r="13" spans="1:16" x14ac:dyDescent="0.2">
      <c r="P13" s="1"/>
    </row>
    <row r="14" spans="1:16" x14ac:dyDescent="0.2">
      <c r="P14" s="1"/>
    </row>
    <row r="15" spans="1:16" x14ac:dyDescent="0.2">
      <c r="P15" s="1"/>
    </row>
    <row r="16" spans="1:16" x14ac:dyDescent="0.2">
      <c r="P16" s="1"/>
    </row>
    <row r="17" spans="16:16" x14ac:dyDescent="0.2">
      <c r="P17" s="1"/>
    </row>
    <row r="18" spans="16:16" x14ac:dyDescent="0.2">
      <c r="P18" s="1"/>
    </row>
    <row r="19" spans="16:16" x14ac:dyDescent="0.2">
      <c r="P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1412-0F40-1D46-9FF7-83C066FF2B3E}">
  <dimension ref="A1:J6"/>
  <sheetViews>
    <sheetView tabSelected="1" workbookViewId="0">
      <selection activeCell="E31" sqref="E31"/>
    </sheetView>
  </sheetViews>
  <sheetFormatPr baseColWidth="10" defaultRowHeight="16" x14ac:dyDescent="0.2"/>
  <sheetData>
    <row r="1" spans="1:10" x14ac:dyDescent="0.2">
      <c r="A1" s="1"/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1</v>
      </c>
      <c r="J1" s="3" t="s">
        <v>0</v>
      </c>
    </row>
    <row r="2" spans="1:10" x14ac:dyDescent="0.2">
      <c r="A2" s="1" t="s">
        <v>25</v>
      </c>
      <c r="B2" s="1">
        <v>0.8</v>
      </c>
      <c r="C2" s="1">
        <v>2.1</v>
      </c>
      <c r="D2" s="1">
        <v>3.33</v>
      </c>
      <c r="E2" s="1">
        <v>0.96</v>
      </c>
      <c r="F2" s="1">
        <v>1.57</v>
      </c>
      <c r="G2" s="1">
        <v>2.2000000000000002</v>
      </c>
      <c r="H2" s="1">
        <v>2.82</v>
      </c>
      <c r="I2" s="1">
        <v>3.4</v>
      </c>
      <c r="J2" s="1">
        <v>4.05</v>
      </c>
    </row>
    <row r="3" spans="1:10" x14ac:dyDescent="0.2">
      <c r="A3" s="1" t="s">
        <v>26</v>
      </c>
      <c r="B3" s="1">
        <v>2.63</v>
      </c>
      <c r="C3" s="1">
        <v>3.82</v>
      </c>
      <c r="D3" s="1">
        <v>4.88</v>
      </c>
      <c r="E3" s="1">
        <v>2.31</v>
      </c>
      <c r="F3" s="1">
        <v>2.87</v>
      </c>
      <c r="G3" s="1">
        <v>3.51</v>
      </c>
      <c r="H3" s="1">
        <v>4.04</v>
      </c>
      <c r="I3" s="1">
        <v>4.63</v>
      </c>
      <c r="J3" s="1">
        <v>5.22</v>
      </c>
    </row>
    <row r="4" spans="1:10" x14ac:dyDescent="0.2">
      <c r="A4" s="1" t="s">
        <v>27</v>
      </c>
      <c r="B4" s="1">
        <v>3.34</v>
      </c>
      <c r="C4" s="1">
        <v>4.9400000000000004</v>
      </c>
      <c r="D4" s="1">
        <v>4.8099999999999996</v>
      </c>
      <c r="E4" s="1">
        <v>3.56</v>
      </c>
      <c r="F4" s="1">
        <v>4.16</v>
      </c>
      <c r="G4" s="1">
        <v>4.33</v>
      </c>
      <c r="H4" s="1">
        <v>4.46</v>
      </c>
      <c r="I4" s="1">
        <v>4.8600000000000003</v>
      </c>
      <c r="J4" s="1">
        <v>4.74</v>
      </c>
    </row>
    <row r="5" spans="1:10" x14ac:dyDescent="0.2">
      <c r="A5" s="1" t="s">
        <v>28</v>
      </c>
      <c r="B5" s="1">
        <v>0.74</v>
      </c>
      <c r="C5" s="1">
        <v>1.73</v>
      </c>
      <c r="D5" s="1">
        <v>2.94</v>
      </c>
      <c r="E5" s="1">
        <v>0.64</v>
      </c>
      <c r="F5" s="1">
        <v>1.3</v>
      </c>
      <c r="G5" s="1">
        <v>1.61</v>
      </c>
      <c r="H5" s="1">
        <v>2.17</v>
      </c>
      <c r="I5" s="1">
        <v>2.96</v>
      </c>
      <c r="J5" s="1">
        <v>3.42</v>
      </c>
    </row>
    <row r="6" spans="1:10" x14ac:dyDescent="0.2">
      <c r="A6" s="1" t="s">
        <v>29</v>
      </c>
      <c r="B6" s="1">
        <v>0.8</v>
      </c>
      <c r="C6" s="1">
        <v>2.1</v>
      </c>
      <c r="D6" s="1">
        <v>3.33</v>
      </c>
      <c r="E6" s="1">
        <v>0.96</v>
      </c>
      <c r="F6" s="1">
        <v>1.57</v>
      </c>
      <c r="G6" s="1">
        <v>4.05</v>
      </c>
      <c r="H6" s="1">
        <v>2.82</v>
      </c>
      <c r="I6" s="1">
        <v>3.4</v>
      </c>
      <c r="J6" s="1">
        <v>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Zhiji</dc:creator>
  <cp:lastModifiedBy>Hu, Zhiji</cp:lastModifiedBy>
  <dcterms:created xsi:type="dcterms:W3CDTF">2026-02-04T03:51:07Z</dcterms:created>
  <dcterms:modified xsi:type="dcterms:W3CDTF">2026-02-28T05:13:49Z</dcterms:modified>
</cp:coreProperties>
</file>